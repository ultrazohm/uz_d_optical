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92wum\git\UltraZohm\PCB\ultrazohm_digital_optical_16tx_3rx_2vxx\Bestuecker_UZ_Digital_Optical_18Tx_14Tx4Rx_v3\"/>
    </mc:Choice>
  </mc:AlternateContent>
  <bookViews>
    <workbookView xWindow="8960" yWindow="590" windowWidth="18990" windowHeight="12660"/>
  </bookViews>
  <sheets>
    <sheet name="Part List Report" sheetId="3" r:id="rId1"/>
    <sheet name="Project Information" sheetId="4" r:id="rId2"/>
  </sheets>
  <calcPr calcId="152511"/>
</workbook>
</file>

<file path=xl/calcChain.xml><?xml version="1.0" encoding="utf-8"?>
<calcChain xmlns="http://schemas.openxmlformats.org/spreadsheetml/2006/main">
  <c r="B34" i="3" l="1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G8" i="3"/>
  <c r="H8" i="3"/>
</calcChain>
</file>

<file path=xl/sharedStrings.xml><?xml version="1.0" encoding="utf-8"?>
<sst xmlns="http://schemas.openxmlformats.org/spreadsheetml/2006/main" count="346" uniqueCount="220">
  <si>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</si>
  <si>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</si>
  <si>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</si>
  <si>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</si>
  <si>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</si>
  <si>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</si>
  <si>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</si>
  <si>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</si>
  <si>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</si>
  <si>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</si>
  <si>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</si>
  <si>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</si>
  <si>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</si>
  <si>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</si>
  <si>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</si>
  <si>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</si>
  <si>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</si>
  <si>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</si>
  <si>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</si>
  <si>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</si>
  <si>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</si>
  <si>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</si>
  <si>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</si>
  <si>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</si>
  <si>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</si>
  <si>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Variant [18Tx] of Project [Digital_Optical_18Tx_14Tx4Rx_3vxx.PrjPCB] (No PCB Document Selected)</t>
  </si>
  <si>
    <t>Digital_Optical_18Tx_14Tx4Rx_3vxx.PrjPCB</t>
  </si>
  <si>
    <t>18Tx</t>
  </si>
  <si>
    <t>24.08.2020</t>
  </si>
  <si>
    <t>11:47</t>
  </si>
  <si>
    <t>144</t>
  </si>
  <si>
    <t>Quantity</t>
  </si>
  <si>
    <t>Comment</t>
  </si>
  <si>
    <t>100nF</t>
  </si>
  <si>
    <t>4.7µF</t>
  </si>
  <si>
    <t>220 uF</t>
  </si>
  <si>
    <t>1µF</t>
  </si>
  <si>
    <t>18pF</t>
  </si>
  <si>
    <t>10µF</t>
  </si>
  <si>
    <t>220nF</t>
  </si>
  <si>
    <t>47µF</t>
  </si>
  <si>
    <t>150060GS75000</t>
  </si>
  <si>
    <t>150060BS75000</t>
  </si>
  <si>
    <t>150060RS75000</t>
  </si>
  <si>
    <t>600Ω</t>
  </si>
  <si>
    <t>6.8 uH, 9 A</t>
  </si>
  <si>
    <t>3.9k</t>
  </si>
  <si>
    <t>120R</t>
  </si>
  <si>
    <t>2.2M</t>
  </si>
  <si>
    <t>100k</t>
  </si>
  <si>
    <t>2k</t>
  </si>
  <si>
    <t>24.9k</t>
  </si>
  <si>
    <t>0R</t>
  </si>
  <si>
    <t>22k</t>
  </si>
  <si>
    <t>1k</t>
  </si>
  <si>
    <t>Buffer/Line Driver</t>
  </si>
  <si>
    <t>4A Buck Converter</t>
  </si>
  <si>
    <t>Designator</t>
  </si>
  <si>
    <t>C1A, C1B, C1C, C1D, C1E, C1F, C1G, C4, C9A, C9B, C15</t>
  </si>
  <si>
    <t>C2A, C2B, C2C, C2D, C2E, C2F, C2G, C8A, C8B</t>
  </si>
  <si>
    <t>C3, C5</t>
  </si>
  <si>
    <t>C6, C7</t>
  </si>
  <si>
    <t>C11</t>
  </si>
  <si>
    <t>C12, C13</t>
  </si>
  <si>
    <t>C14</t>
  </si>
  <si>
    <t>C16, C17</t>
  </si>
  <si>
    <t>D1A, D1B, D1C, D1D, D1E, D1F, D1G, D2A, D2B, D2C, D2D, D2E, D2F, D2G, D3A, D3B, D4A, D4B</t>
  </si>
  <si>
    <t>D6</t>
  </si>
  <si>
    <t>D7</t>
  </si>
  <si>
    <t>L1</t>
  </si>
  <si>
    <t>L2</t>
  </si>
  <si>
    <t>R1A, R1B, R1C, R1D, R1E, R1F, R1G, R3A, R3B, R3C, R3D, R3E, R3F, R3G, R11A, R11B, R22A, R22B</t>
  </si>
  <si>
    <t>R2A, R2B, R2C, R2D, R2E, R2F, R2G, R4A, R4B, R4C, R4D, R4E, R4F, R4G, R13A, R13B, R23A, R23B</t>
  </si>
  <si>
    <t>R5</t>
  </si>
  <si>
    <t>R6</t>
  </si>
  <si>
    <t>R7A, R7B, R7C, R7D, R7E, R7F, R7G, R8A, R8B, R8C, R8D, R8E, R8F, R8G, R9A, R9B, R9C, R9D, R9E, R9F, R9G, R10A, R10B, R10C, R10D, R10E, R10F, R10G, R19A, R19B, R20A, R20B, R24A, R24B, R27A, R27B</t>
  </si>
  <si>
    <t>R12</t>
  </si>
  <si>
    <t>R15</t>
  </si>
  <si>
    <t>R17</t>
  </si>
  <si>
    <t>R18</t>
  </si>
  <si>
    <t>R21A, R21B, R25A, R25B</t>
  </si>
  <si>
    <t>U1A, U1B, U1C, U1D, U1E, U1F, U1G, U4A, U4B</t>
  </si>
  <si>
    <t>U2</t>
  </si>
  <si>
    <t>MF</t>
  </si>
  <si>
    <t>Yageo</t>
  </si>
  <si>
    <t>Taiyo Yuden</t>
  </si>
  <si>
    <t>Wurth Elektronik</t>
  </si>
  <si>
    <t>KEMET</t>
  </si>
  <si>
    <t>Murata Electronics</t>
  </si>
  <si>
    <t>Murata</t>
  </si>
  <si>
    <t>Wuerth Elektronik</t>
  </si>
  <si>
    <t>Coilcraft</t>
  </si>
  <si>
    <t>Bourns</t>
  </si>
  <si>
    <t>Vishay/Dale</t>
  </si>
  <si>
    <t>Vishay</t>
  </si>
  <si>
    <t>Multicomp</t>
  </si>
  <si>
    <t>Texas Instruments</t>
  </si>
  <si>
    <t>MPN</t>
  </si>
  <si>
    <t>CC0603MRY5V9BB104</t>
  </si>
  <si>
    <t>LMF212B7475KGHT</t>
  </si>
  <si>
    <t>860020574012</t>
  </si>
  <si>
    <t>UMK107BJ105KA-T</t>
  </si>
  <si>
    <t>C0603C180J5GACAUTO</t>
  </si>
  <si>
    <t>GMK316BJ106KL-T</t>
  </si>
  <si>
    <t>GCM188R71H224KA64D</t>
  </si>
  <si>
    <t>GRM32EC81C476ME15L</t>
  </si>
  <si>
    <t>742792040</t>
  </si>
  <si>
    <t>XAL6060-682MEB</t>
  </si>
  <si>
    <t>CR0603-FX-3901ELF</t>
  </si>
  <si>
    <t>CR0805-FX-1200ELF</t>
  </si>
  <si>
    <t>CRCW06032M20FKEA</t>
  </si>
  <si>
    <t>CRCW0603100KFKEAC</t>
  </si>
  <si>
    <t>RC0603FR-072KL</t>
  </si>
  <si>
    <t>RC0603FR-0724K9L</t>
  </si>
  <si>
    <t>CRCW06030000Z0EBC</t>
  </si>
  <si>
    <t>CRCW060322K0FKEAC</t>
  </si>
  <si>
    <t>RC0603FR-071KL</t>
  </si>
  <si>
    <t>SN75452BDR</t>
  </si>
  <si>
    <t>LMR33640DDDAR</t>
  </si>
  <si>
    <t>Value</t>
  </si>
  <si>
    <t>6.8 uH</t>
  </si>
  <si>
    <t>Description</t>
  </si>
  <si>
    <t>CAP 0603 (1608 Metric) SMD</t>
  </si>
  <si>
    <t>CAP 0805 (2012 Metric) SMD</t>
  </si>
  <si>
    <t>WCAP-ATG5 Aluminum Electrolytic Capacitors, 8x11.5mm, 35 Vdc, 220 uF</t>
  </si>
  <si>
    <t>Capacitor 1206</t>
  </si>
  <si>
    <t>Capacitor 1210</t>
  </si>
  <si>
    <t>WL-SMCW SMD Mono-color Chip LED Waterclear, size 0603, Green, 3.2 V, 140°</t>
  </si>
  <si>
    <t>WL-SMCW SMD Mono-color Chip LED Waterclear, size 0603, Blue, 3.2 V, 140°</t>
  </si>
  <si>
    <t>WL-SMCW SMD Mono-color Chip LED Waterclear, size 0603, Red, 2 V, 140°</t>
  </si>
  <si>
    <t>WE-CBF SMD EMI Suppression Ferrite Bead, 0805, 600Ω</t>
  </si>
  <si>
    <t>SMT Shielded Power Inductor, 6.8uH 20% 9A 20.8mOhms</t>
  </si>
  <si>
    <t>SMD Resistor 0603</t>
  </si>
  <si>
    <t>SMD Resistor 0805</t>
  </si>
  <si>
    <t>Solder resistor/jumper between pads 1 and 2 for standard function. Solder resistor between pads 2 and 3 for alternative function</t>
  </si>
  <si>
    <t>Buffers &amp; Line Drivers Dual Very-HS HC Peripheral Drivers</t>
  </si>
  <si>
    <t>3.6B to 36V, 4A Synchronous Step-down Converter</t>
  </si>
  <si>
    <t>Footprint</t>
  </si>
  <si>
    <t>C_0603(1608)100_L</t>
  </si>
  <si>
    <t>CAP_2012X06N</t>
  </si>
  <si>
    <t>WCAP-ATG5_8x11.5x3.5</t>
  </si>
  <si>
    <t>C_1206</t>
  </si>
  <si>
    <t>C_1210_N</t>
  </si>
  <si>
    <t>WL-SMCW_0603</t>
  </si>
  <si>
    <t>WE-CBF_0805_High Current</t>
  </si>
  <si>
    <t>SPI 6x6x6</t>
  </si>
  <si>
    <t>R_0603_N</t>
  </si>
  <si>
    <t>RES_2012X06N</t>
  </si>
  <si>
    <t>0603_Config</t>
  </si>
  <si>
    <t>SOIC127P600X175-8N</t>
  </si>
  <si>
    <t>SOP127P600X170_HS-9N</t>
  </si>
  <si>
    <t>Package</t>
  </si>
  <si>
    <t>0603</t>
  </si>
  <si>
    <t>0805, [NoParam]</t>
  </si>
  <si>
    <t>1206</t>
  </si>
  <si>
    <t>1210</t>
  </si>
  <si>
    <t>0805</t>
  </si>
  <si>
    <t>[NoParam], 0805</t>
  </si>
  <si>
    <t>SOIC-8</t>
  </si>
  <si>
    <t>HSOIC-8</t>
  </si>
  <si>
    <t>Voltage</t>
  </si>
  <si>
    <t>35 V</t>
  </si>
  <si>
    <t>10 V, [NoParam]</t>
  </si>
  <si>
    <t>35 Vdc</t>
  </si>
  <si>
    <t>16 V</t>
  </si>
  <si>
    <t>75V</t>
  </si>
  <si>
    <t>150 V</t>
  </si>
  <si>
    <t>75 V</t>
  </si>
  <si>
    <t>Dielectric</t>
  </si>
  <si>
    <t>X5V</t>
  </si>
  <si>
    <t>X7R</t>
  </si>
  <si>
    <t>X5R</t>
  </si>
  <si>
    <t>C0G</t>
  </si>
  <si>
    <t>X6S</t>
  </si>
  <si>
    <t>Supplier 1</t>
  </si>
  <si>
    <t>Mouser</t>
  </si>
  <si>
    <t>Farnell</t>
  </si>
  <si>
    <t>Supplier Part Number 1</t>
  </si>
  <si>
    <t>603-C0603MRY5V9BB104</t>
  </si>
  <si>
    <t>963-LMF212B7475KGHT</t>
  </si>
  <si>
    <t>710-860020574012</t>
  </si>
  <si>
    <t>963-UMK107BJ105KA-T</t>
  </si>
  <si>
    <t>80-C0603C180J5GAUTO</t>
  </si>
  <si>
    <t>963-GMK316BJ106KL-T</t>
  </si>
  <si>
    <t>81-GCM188R71H224K64D</t>
  </si>
  <si>
    <t>81-GRM32EC81C476ME5L</t>
  </si>
  <si>
    <t>2322070</t>
  </si>
  <si>
    <t>2322069</t>
  </si>
  <si>
    <t>2322071</t>
  </si>
  <si>
    <t>2761567</t>
  </si>
  <si>
    <t>994-XAL6060-682MEB</t>
  </si>
  <si>
    <t>652-CR0603-FX3901ELF</t>
  </si>
  <si>
    <t>652-CR0805FX-1200ELF*</t>
  </si>
  <si>
    <t>71-CRCW06032M20FKEA</t>
  </si>
  <si>
    <t>71-CRCW0603100KFKEAC</t>
  </si>
  <si>
    <t>603-RC0603FR-072KL</t>
  </si>
  <si>
    <t>603-RC0603FR-0724K9L</t>
  </si>
  <si>
    <t>71-CRCW06030000Z0EBC</t>
  </si>
  <si>
    <t>71-CRCW060322K0FKEAC</t>
  </si>
  <si>
    <t>9238484</t>
  </si>
  <si>
    <t>595-SN75452BDR</t>
  </si>
  <si>
    <t>595-LMR33640DDDAR</t>
  </si>
  <si>
    <t>Supplier 2</t>
  </si>
  <si>
    <t>Digi-Key</t>
  </si>
  <si>
    <t>Supplier Part Number 2</t>
  </si>
  <si>
    <t>710-150060GS75000</t>
  </si>
  <si>
    <t>710-150060BS75000</t>
  </si>
  <si>
    <t>710-150060RS75000</t>
  </si>
  <si>
    <t>710-742792040</t>
  </si>
  <si>
    <t>Supplier 3</t>
  </si>
  <si>
    <t>Supplier Part Number 3</t>
  </si>
  <si>
    <t>732-4971-1-ND</t>
  </si>
  <si>
    <t>732-4966-1-ND</t>
  </si>
  <si>
    <t>732-4978-1-ND</t>
  </si>
  <si>
    <t>732-1620-1-ND</t>
  </si>
  <si>
    <t>C:\Users\ga92wum\git\UltraZohm\PCB\ultrazohm_digital_optical_16tx_3rx_2vxx\Digital_Optical_18Tx_14Tx4Rx_3vxx.PrjPCB</t>
  </si>
  <si>
    <t>24.08.2020 11:47</t>
  </si>
  <si>
    <t>Bill of Materials</t>
  </si>
  <si>
    <t>BOM_PartType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</si>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</sst>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2" borderId="0" xfId="0" applyFont="1" applyFill="1" applyBorder="1" applyAlignment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/>
    <xf numFmtId="0" fontId="9" fillId="2" borderId="7" xfId="0" applyFont="1" applyFill="1" applyBorder="1" applyAlignment="1"/>
    <xf numFmtId="0" fontId="9" fillId="2" borderId="10" xfId="0" applyFont="1" applyFill="1" applyBorder="1" applyAlignment="1"/>
    <xf numFmtId="0" fontId="8" fillId="2" borderId="11" xfId="0" applyFont="1" applyFill="1" applyBorder="1" applyAlignment="1">
      <alignment horizontal="left"/>
    </xf>
    <xf numFmtId="0" fontId="9" fillId="2" borderId="11" xfId="0" applyFont="1" applyFill="1" applyBorder="1" applyAlignment="1"/>
    <xf numFmtId="0" fontId="8" fillId="2" borderId="11" xfId="0" applyFont="1" applyFill="1" applyBorder="1" applyAlignment="1"/>
    <xf numFmtId="0" fontId="9" fillId="2" borderId="11" xfId="0" applyFont="1" applyFill="1" applyBorder="1" applyAlignment="1">
      <alignment horizontal="left"/>
    </xf>
    <xf numFmtId="0" fontId="8" fillId="2" borderId="7" xfId="0" applyFont="1" applyFill="1" applyBorder="1" applyAlignment="1"/>
    <xf numFmtId="0" fontId="10" fillId="2" borderId="0" xfId="0" applyFont="1" applyFill="1" applyBorder="1" applyAlignment="1"/>
    <xf numFmtId="0" fontId="11" fillId="2" borderId="12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4" xfId="0" applyNumberFormat="1" applyFont="1" applyFill="1" applyBorder="1" applyAlignment="1" applyProtection="1">
      <alignment vertical="top"/>
      <protection locked="0"/>
    </xf>
    <xf numFmtId="0" fontId="1" fillId="0" borderId="15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6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164" fontId="9" fillId="2" borderId="11" xfId="0" applyNumberFormat="1" applyFont="1" applyFill="1" applyBorder="1" applyAlignment="1">
      <alignment horizontal="left"/>
    </xf>
    <xf numFmtId="14" fontId="9" fillId="2" borderId="11" xfId="0" applyNumberFormat="1" applyFont="1" applyFill="1" applyBorder="1" applyAlignment="1">
      <alignment horizontal="left"/>
    </xf>
    <xf numFmtId="0" fontId="7" fillId="6" borderId="20" xfId="0" applyFont="1" applyFill="1" applyBorder="1" applyAlignment="1">
      <alignment vertical="top" wrapText="1"/>
    </xf>
    <xf numFmtId="0" fontId="7" fillId="7" borderId="21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2" borderId="22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7" xfId="0" applyNumberFormat="1" applyFont="1" applyFill="1" applyBorder="1" applyAlignment="1" applyProtection="1">
      <alignment vertical="top"/>
      <protection locked="0"/>
    </xf>
    <xf numFmtId="49" fontId="7" fillId="6" borderId="23" xfId="0" applyNumberFormat="1" applyFont="1" applyFill="1" applyBorder="1" applyAlignment="1">
      <alignment vertical="top" wrapText="1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horizontal="right" vertical="top" wrapText="1"/>
    </xf>
    <xf numFmtId="49" fontId="7" fillId="7" borderId="27" xfId="0" applyNumberFormat="1" applyFont="1" applyFill="1" applyBorder="1" applyAlignment="1">
      <alignment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0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2" borderId="0" xfId="0" quotePrefix="1" applyFont="1" applyFill="1" applyBorder="1" applyAlignment="1">
      <alignment horizontal="left"/>
    </xf>
    <xf numFmtId="0" fontId="8" fillId="2" borderId="10" xfId="0" quotePrefix="1" applyFont="1" applyFill="1" applyBorder="1" applyAlignment="1">
      <alignment horizontal="left"/>
    </xf>
    <xf numFmtId="0" fontId="8" fillId="2" borderId="11" xfId="0" quotePrefix="1" applyFont="1" applyFill="1" applyBorder="1" applyAlignment="1">
      <alignment horizontal="left"/>
    </xf>
    <xf numFmtId="0" fontId="9" fillId="2" borderId="1" xfId="0" quotePrefix="1" applyFont="1" applyFill="1" applyBorder="1" applyAlignment="1">
      <alignment horizontal="left"/>
    </xf>
    <xf numFmtId="0" fontId="2" fillId="0" borderId="15" xfId="0" quotePrefix="1" applyNumberFormat="1" applyFont="1" applyFill="1" applyBorder="1" applyAlignment="1" applyProtection="1">
      <alignment vertical="top"/>
      <protection locked="0"/>
    </xf>
    <xf numFmtId="0" fontId="13" fillId="4" borderId="31" xfId="0" quotePrefix="1" applyFont="1" applyFill="1" applyBorder="1" applyAlignment="1">
      <alignment horizontal="left" vertical="center"/>
    </xf>
    <xf numFmtId="0" fontId="13" fillId="3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520700</xdr:colOff>
      <xdr:row>2</xdr:row>
      <xdr:rowOff>95250</xdr:rowOff>
    </xdr:from>
    <xdr:to>
      <xdr:col>9</xdr:col>
      <xdr:colOff>755650</xdr:colOff>
      <xdr:row>5</xdr:row>
      <xdr:rowOff>57150</xdr:rowOff>
    </xdr:to>
    <xdr:pic>
      <xdr:nvPicPr>
        <xdr:cNvPr id="1040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300" y="736600"/>
          <a:ext cx="5124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43"/>
  <sheetViews>
    <sheetView showGridLines="0" tabSelected="1" topLeftCell="A8" zoomScaleNormal="100" workbookViewId="0">
      <selection activeCell="I11" sqref="I11"/>
    </sheetView>
  </sheetViews>
  <sheetFormatPr baseColWidth="10" defaultColWidth="9.1796875" defaultRowHeight="12.5" x14ac:dyDescent="0.25"/>
  <cols>
    <col min="1" max="1" width="3.1796875" style="1" customWidth="1"/>
    <col min="2" max="2" width="5.453125" style="1" customWidth="1"/>
    <col min="3" max="3" width="7.26953125" style="1" customWidth="1"/>
    <col min="4" max="4" width="20.453125" style="4" customWidth="1"/>
    <col min="5" max="5" width="23.26953125" style="4" customWidth="1"/>
    <col min="6" max="6" width="18.1796875" style="4" customWidth="1"/>
    <col min="7" max="7" width="20" style="4" customWidth="1"/>
    <col min="8" max="8" width="19" style="1" customWidth="1"/>
    <col min="9" max="9" width="31" style="1" customWidth="1"/>
    <col min="10" max="10" width="16.26953125" style="1" customWidth="1"/>
    <col min="11" max="11" width="12.453125" style="1" customWidth="1"/>
    <col min="12" max="19" width="13.1796875" style="1" customWidth="1"/>
    <col min="20" max="20" width="17.81640625" style="1" customWidth="1"/>
    <col min="21" max="21" width="10" style="1" customWidth="1"/>
    <col min="22" max="16384" width="9.1796875" style="1"/>
  </cols>
  <sheetData>
    <row r="1" spans="1:21" ht="13" thickBot="1" x14ac:dyDescent="0.3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1"/>
      <c r="U1" s="17"/>
    </row>
    <row r="2" spans="1:21" ht="37.5" customHeight="1" thickBot="1" x14ac:dyDescent="0.3">
      <c r="A2" s="38"/>
      <c r="B2" s="29"/>
      <c r="C2" s="29" t="s">
        <v>22</v>
      </c>
      <c r="E2" s="30"/>
      <c r="F2" s="65" t="s">
        <v>25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/>
    </row>
    <row r="3" spans="1:21" ht="23.25" customHeight="1" x14ac:dyDescent="0.3">
      <c r="A3" s="38"/>
      <c r="B3" s="18"/>
      <c r="C3" s="18" t="s">
        <v>14</v>
      </c>
      <c r="E3" s="66" t="s">
        <v>26</v>
      </c>
      <c r="F3" s="18"/>
      <c r="G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21"/>
    </row>
    <row r="4" spans="1:21" ht="17.25" customHeight="1" x14ac:dyDescent="0.3">
      <c r="A4" s="38"/>
      <c r="B4" s="18"/>
      <c r="C4" s="18" t="s">
        <v>15</v>
      </c>
      <c r="E4" s="67" t="s">
        <v>26</v>
      </c>
      <c r="F4" s="22"/>
      <c r="G4" s="19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1" ht="17.25" customHeight="1" x14ac:dyDescent="0.3">
      <c r="A5" s="38"/>
      <c r="B5" s="18"/>
      <c r="C5" s="18" t="s">
        <v>16</v>
      </c>
      <c r="E5" s="68" t="s">
        <v>27</v>
      </c>
      <c r="F5" s="24"/>
      <c r="G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</row>
    <row r="6" spans="1:21" ht="13" x14ac:dyDescent="0.3">
      <c r="A6" s="38"/>
      <c r="B6" s="25"/>
      <c r="C6" s="25"/>
      <c r="D6" s="25"/>
      <c r="E6" s="25"/>
      <c r="F6" s="25"/>
      <c r="G6" s="23"/>
      <c r="H6" s="26"/>
      <c r="I6" s="24"/>
      <c r="J6" s="24"/>
      <c r="K6" s="20"/>
      <c r="L6" s="20"/>
      <c r="M6" s="20"/>
      <c r="N6" s="20"/>
      <c r="O6" s="20"/>
      <c r="P6" s="20"/>
      <c r="Q6" s="20"/>
      <c r="R6" s="20"/>
      <c r="S6" s="20"/>
      <c r="T6" s="27"/>
    </row>
    <row r="7" spans="1:21" ht="15.75" customHeight="1" x14ac:dyDescent="0.25">
      <c r="A7" s="38"/>
      <c r="B7" s="28"/>
      <c r="C7" s="28" t="s">
        <v>18</v>
      </c>
      <c r="D7" s="28"/>
      <c r="E7" s="28"/>
      <c r="F7" s="28"/>
      <c r="G7" s="69" t="s">
        <v>28</v>
      </c>
      <c r="H7" s="69" t="s">
        <v>29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1"/>
    </row>
    <row r="8" spans="1:21" ht="15.75" customHeight="1" x14ac:dyDescent="0.25">
      <c r="A8" s="38"/>
      <c r="B8" s="24"/>
      <c r="C8" s="24" t="s">
        <v>17</v>
      </c>
      <c r="E8" s="24"/>
      <c r="F8" s="24"/>
      <c r="G8" s="48">
        <f ca="1">TODAY()</f>
        <v>44067</v>
      </c>
      <c r="H8" s="47">
        <f ca="1">NOW()</f>
        <v>44067.601465509259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1"/>
    </row>
    <row r="9" spans="1:21" s="2" customFormat="1" ht="18" customHeight="1" x14ac:dyDescent="0.25">
      <c r="A9" s="38"/>
      <c r="B9" s="44" t="s">
        <v>20</v>
      </c>
      <c r="C9" s="51" t="s">
        <v>31</v>
      </c>
      <c r="D9" s="45" t="s">
        <v>32</v>
      </c>
      <c r="E9" s="45" t="s">
        <v>57</v>
      </c>
      <c r="F9" s="45" t="s">
        <v>83</v>
      </c>
      <c r="G9" s="45" t="s">
        <v>97</v>
      </c>
      <c r="H9" s="45" t="s">
        <v>119</v>
      </c>
      <c r="I9" s="45" t="s">
        <v>121</v>
      </c>
      <c r="J9" s="45" t="s">
        <v>137</v>
      </c>
      <c r="K9" s="45" t="s">
        <v>151</v>
      </c>
      <c r="L9" s="45" t="s">
        <v>160</v>
      </c>
      <c r="M9" s="45" t="s">
        <v>168</v>
      </c>
      <c r="N9" s="45" t="s">
        <v>174</v>
      </c>
      <c r="O9" s="45" t="s">
        <v>177</v>
      </c>
      <c r="P9" s="45" t="s">
        <v>202</v>
      </c>
      <c r="Q9" s="45" t="s">
        <v>204</v>
      </c>
      <c r="R9" s="45" t="s">
        <v>209</v>
      </c>
      <c r="S9" s="45" t="s">
        <v>210</v>
      </c>
      <c r="T9" s="46" t="s">
        <v>24</v>
      </c>
    </row>
    <row r="10" spans="1:21" s="3" customFormat="1" ht="45.5" customHeight="1" x14ac:dyDescent="0.25">
      <c r="A10" s="38"/>
      <c r="B10" s="49">
        <f t="shared" ref="B10:B34" si="0">ROW(B10) - ROW($B$9)</f>
        <v>1</v>
      </c>
      <c r="C10" s="63">
        <v>11</v>
      </c>
      <c r="D10" s="56" t="s">
        <v>33</v>
      </c>
      <c r="E10" s="56" t="s">
        <v>58</v>
      </c>
      <c r="F10" s="56" t="s">
        <v>84</v>
      </c>
      <c r="G10" s="57" t="s">
        <v>98</v>
      </c>
      <c r="H10" s="57" t="s">
        <v>33</v>
      </c>
      <c r="I10" s="57" t="s">
        <v>122</v>
      </c>
      <c r="J10" s="57" t="s">
        <v>138</v>
      </c>
      <c r="K10" s="57" t="s">
        <v>152</v>
      </c>
      <c r="L10" s="58" t="s">
        <v>161</v>
      </c>
      <c r="M10" s="58" t="s">
        <v>169</v>
      </c>
      <c r="N10" s="58" t="s">
        <v>175</v>
      </c>
      <c r="O10" s="58" t="s">
        <v>178</v>
      </c>
      <c r="P10" s="58"/>
      <c r="Q10" s="58"/>
      <c r="R10" s="58"/>
      <c r="S10" s="58"/>
      <c r="T10" s="59"/>
    </row>
    <row r="11" spans="1:21" s="3" customFormat="1" ht="45.5" customHeight="1" x14ac:dyDescent="0.25">
      <c r="A11" s="38"/>
      <c r="B11" s="50">
        <f t="shared" si="0"/>
        <v>2</v>
      </c>
      <c r="C11" s="64">
        <v>9</v>
      </c>
      <c r="D11" s="60" t="s">
        <v>34</v>
      </c>
      <c r="E11" s="60" t="s">
        <v>59</v>
      </c>
      <c r="F11" s="60" t="s">
        <v>85</v>
      </c>
      <c r="G11" s="60" t="s">
        <v>99</v>
      </c>
      <c r="H11" s="60" t="s">
        <v>34</v>
      </c>
      <c r="I11" s="60" t="s">
        <v>123</v>
      </c>
      <c r="J11" s="60" t="s">
        <v>139</v>
      </c>
      <c r="K11" s="60" t="s">
        <v>153</v>
      </c>
      <c r="L11" s="61" t="s">
        <v>162</v>
      </c>
      <c r="M11" s="61" t="s">
        <v>170</v>
      </c>
      <c r="N11" s="61" t="s">
        <v>175</v>
      </c>
      <c r="O11" s="61" t="s">
        <v>179</v>
      </c>
      <c r="P11" s="61"/>
      <c r="Q11" s="61"/>
      <c r="R11" s="61"/>
      <c r="S11" s="61"/>
      <c r="T11" s="62"/>
    </row>
    <row r="12" spans="1:21" s="3" customFormat="1" ht="13.5" customHeight="1" x14ac:dyDescent="0.25">
      <c r="A12" s="38"/>
      <c r="B12" s="49">
        <f t="shared" si="0"/>
        <v>3</v>
      </c>
      <c r="C12" s="63">
        <v>2</v>
      </c>
      <c r="D12" s="56" t="s">
        <v>35</v>
      </c>
      <c r="E12" s="56" t="s">
        <v>60</v>
      </c>
      <c r="F12" s="56" t="s">
        <v>86</v>
      </c>
      <c r="G12" s="57" t="s">
        <v>100</v>
      </c>
      <c r="H12" s="57" t="s">
        <v>35</v>
      </c>
      <c r="I12" s="57" t="s">
        <v>124</v>
      </c>
      <c r="J12" s="57" t="s">
        <v>140</v>
      </c>
      <c r="K12" s="57"/>
      <c r="L12" s="58" t="s">
        <v>163</v>
      </c>
      <c r="M12" s="58"/>
      <c r="N12" s="58" t="s">
        <v>175</v>
      </c>
      <c r="O12" s="58" t="s">
        <v>180</v>
      </c>
      <c r="P12" s="58"/>
      <c r="Q12" s="58"/>
      <c r="R12" s="58"/>
      <c r="S12" s="58"/>
      <c r="T12" s="59"/>
    </row>
    <row r="13" spans="1:21" s="3" customFormat="1" ht="13.5" customHeight="1" x14ac:dyDescent="0.25">
      <c r="A13" s="38"/>
      <c r="B13" s="50">
        <f t="shared" si="0"/>
        <v>4</v>
      </c>
      <c r="C13" s="64">
        <v>2</v>
      </c>
      <c r="D13" s="60" t="s">
        <v>36</v>
      </c>
      <c r="E13" s="60" t="s">
        <v>61</v>
      </c>
      <c r="F13" s="60" t="s">
        <v>85</v>
      </c>
      <c r="G13" s="60" t="s">
        <v>101</v>
      </c>
      <c r="H13" s="60" t="s">
        <v>36</v>
      </c>
      <c r="I13" s="60" t="s">
        <v>122</v>
      </c>
      <c r="J13" s="60" t="s">
        <v>138</v>
      </c>
      <c r="K13" s="60" t="s">
        <v>152</v>
      </c>
      <c r="L13" s="61" t="s">
        <v>161</v>
      </c>
      <c r="M13" s="61" t="s">
        <v>171</v>
      </c>
      <c r="N13" s="61" t="s">
        <v>175</v>
      </c>
      <c r="O13" s="61" t="s">
        <v>181</v>
      </c>
      <c r="P13" s="61"/>
      <c r="Q13" s="61"/>
      <c r="R13" s="61"/>
      <c r="S13" s="61"/>
      <c r="T13" s="62"/>
    </row>
    <row r="14" spans="1:21" s="3" customFormat="1" ht="13.5" customHeight="1" x14ac:dyDescent="0.25">
      <c r="A14" s="38"/>
      <c r="B14" s="49">
        <f t="shared" si="0"/>
        <v>5</v>
      </c>
      <c r="C14" s="63">
        <v>1</v>
      </c>
      <c r="D14" s="56" t="s">
        <v>37</v>
      </c>
      <c r="E14" s="56" t="s">
        <v>62</v>
      </c>
      <c r="F14" s="56" t="s">
        <v>87</v>
      </c>
      <c r="G14" s="57" t="s">
        <v>102</v>
      </c>
      <c r="H14" s="57" t="s">
        <v>37</v>
      </c>
      <c r="I14" s="57" t="s">
        <v>122</v>
      </c>
      <c r="J14" s="57" t="s">
        <v>138</v>
      </c>
      <c r="K14" s="57" t="s">
        <v>152</v>
      </c>
      <c r="L14" s="58" t="s">
        <v>161</v>
      </c>
      <c r="M14" s="58" t="s">
        <v>172</v>
      </c>
      <c r="N14" s="58" t="s">
        <v>175</v>
      </c>
      <c r="O14" s="58" t="s">
        <v>182</v>
      </c>
      <c r="P14" s="58"/>
      <c r="Q14" s="58"/>
      <c r="R14" s="58"/>
      <c r="S14" s="58"/>
      <c r="T14" s="59"/>
    </row>
    <row r="15" spans="1:21" s="3" customFormat="1" ht="13.5" customHeight="1" x14ac:dyDescent="0.25">
      <c r="A15" s="38"/>
      <c r="B15" s="50">
        <f t="shared" si="0"/>
        <v>6</v>
      </c>
      <c r="C15" s="64">
        <v>2</v>
      </c>
      <c r="D15" s="60" t="s">
        <v>38</v>
      </c>
      <c r="E15" s="60" t="s">
        <v>63</v>
      </c>
      <c r="F15" s="60" t="s">
        <v>85</v>
      </c>
      <c r="G15" s="60" t="s">
        <v>103</v>
      </c>
      <c r="H15" s="60" t="s">
        <v>38</v>
      </c>
      <c r="I15" s="60" t="s">
        <v>125</v>
      </c>
      <c r="J15" s="60" t="s">
        <v>141</v>
      </c>
      <c r="K15" s="60" t="s">
        <v>154</v>
      </c>
      <c r="L15" s="61" t="s">
        <v>161</v>
      </c>
      <c r="M15" s="61" t="s">
        <v>171</v>
      </c>
      <c r="N15" s="61" t="s">
        <v>175</v>
      </c>
      <c r="O15" s="61" t="s">
        <v>183</v>
      </c>
      <c r="P15" s="61"/>
      <c r="Q15" s="61"/>
      <c r="R15" s="61"/>
      <c r="S15" s="61"/>
      <c r="T15" s="62"/>
    </row>
    <row r="16" spans="1:21" s="3" customFormat="1" ht="13.5" customHeight="1" x14ac:dyDescent="0.25">
      <c r="A16" s="38"/>
      <c r="B16" s="49">
        <f t="shared" si="0"/>
        <v>7</v>
      </c>
      <c r="C16" s="63">
        <v>1</v>
      </c>
      <c r="D16" s="56" t="s">
        <v>39</v>
      </c>
      <c r="E16" s="56" t="s">
        <v>64</v>
      </c>
      <c r="F16" s="56" t="s">
        <v>88</v>
      </c>
      <c r="G16" s="57" t="s">
        <v>104</v>
      </c>
      <c r="H16" s="57" t="s">
        <v>39</v>
      </c>
      <c r="I16" s="57" t="s">
        <v>122</v>
      </c>
      <c r="J16" s="57" t="s">
        <v>138</v>
      </c>
      <c r="K16" s="57" t="s">
        <v>152</v>
      </c>
      <c r="L16" s="58" t="s">
        <v>161</v>
      </c>
      <c r="M16" s="58" t="s">
        <v>170</v>
      </c>
      <c r="N16" s="58" t="s">
        <v>175</v>
      </c>
      <c r="O16" s="58" t="s">
        <v>184</v>
      </c>
      <c r="P16" s="58"/>
      <c r="Q16" s="58"/>
      <c r="R16" s="58"/>
      <c r="S16" s="58"/>
      <c r="T16" s="59"/>
    </row>
    <row r="17" spans="1:20" s="3" customFormat="1" ht="13.5" customHeight="1" x14ac:dyDescent="0.25">
      <c r="A17" s="38"/>
      <c r="B17" s="50">
        <f t="shared" si="0"/>
        <v>8</v>
      </c>
      <c r="C17" s="64">
        <v>2</v>
      </c>
      <c r="D17" s="60" t="s">
        <v>40</v>
      </c>
      <c r="E17" s="60" t="s">
        <v>65</v>
      </c>
      <c r="F17" s="60" t="s">
        <v>89</v>
      </c>
      <c r="G17" s="60" t="s">
        <v>105</v>
      </c>
      <c r="H17" s="60" t="s">
        <v>40</v>
      </c>
      <c r="I17" s="60" t="s">
        <v>126</v>
      </c>
      <c r="J17" s="60" t="s">
        <v>142</v>
      </c>
      <c r="K17" s="60" t="s">
        <v>155</v>
      </c>
      <c r="L17" s="61" t="s">
        <v>164</v>
      </c>
      <c r="M17" s="61" t="s">
        <v>173</v>
      </c>
      <c r="N17" s="61" t="s">
        <v>175</v>
      </c>
      <c r="O17" s="61" t="s">
        <v>185</v>
      </c>
      <c r="P17" s="61"/>
      <c r="Q17" s="61"/>
      <c r="R17" s="61"/>
      <c r="S17" s="61"/>
      <c r="T17" s="62"/>
    </row>
    <row r="18" spans="1:20" s="3" customFormat="1" ht="45.5" customHeight="1" x14ac:dyDescent="0.25">
      <c r="A18" s="38"/>
      <c r="B18" s="49">
        <f t="shared" si="0"/>
        <v>9</v>
      </c>
      <c r="C18" s="63">
        <v>18</v>
      </c>
      <c r="D18" s="56" t="s">
        <v>41</v>
      </c>
      <c r="E18" s="56" t="s">
        <v>66</v>
      </c>
      <c r="F18" s="56" t="s">
        <v>90</v>
      </c>
      <c r="G18" s="57" t="s">
        <v>41</v>
      </c>
      <c r="H18" s="57" t="s">
        <v>41</v>
      </c>
      <c r="I18" s="57" t="s">
        <v>127</v>
      </c>
      <c r="J18" s="57" t="s">
        <v>143</v>
      </c>
      <c r="K18" s="57" t="s">
        <v>152</v>
      </c>
      <c r="L18" s="58"/>
      <c r="M18" s="58"/>
      <c r="N18" s="58" t="s">
        <v>176</v>
      </c>
      <c r="O18" s="58" t="s">
        <v>186</v>
      </c>
      <c r="P18" s="58" t="s">
        <v>175</v>
      </c>
      <c r="Q18" s="58" t="s">
        <v>205</v>
      </c>
      <c r="R18" s="58" t="s">
        <v>203</v>
      </c>
      <c r="S18" s="58" t="s">
        <v>211</v>
      </c>
      <c r="T18" s="59"/>
    </row>
    <row r="19" spans="1:20" s="3" customFormat="1" ht="13.5" customHeight="1" x14ac:dyDescent="0.25">
      <c r="A19" s="38"/>
      <c r="B19" s="50">
        <f t="shared" si="0"/>
        <v>10</v>
      </c>
      <c r="C19" s="64">
        <v>1</v>
      </c>
      <c r="D19" s="60" t="s">
        <v>42</v>
      </c>
      <c r="E19" s="60" t="s">
        <v>67</v>
      </c>
      <c r="F19" s="60" t="s">
        <v>90</v>
      </c>
      <c r="G19" s="60" t="s">
        <v>42</v>
      </c>
      <c r="H19" s="60" t="s">
        <v>42</v>
      </c>
      <c r="I19" s="60" t="s">
        <v>128</v>
      </c>
      <c r="J19" s="60" t="s">
        <v>143</v>
      </c>
      <c r="K19" s="60" t="s">
        <v>152</v>
      </c>
      <c r="L19" s="61"/>
      <c r="M19" s="61"/>
      <c r="N19" s="61" t="s">
        <v>176</v>
      </c>
      <c r="O19" s="61" t="s">
        <v>187</v>
      </c>
      <c r="P19" s="61" t="s">
        <v>175</v>
      </c>
      <c r="Q19" s="61" t="s">
        <v>206</v>
      </c>
      <c r="R19" s="61" t="s">
        <v>203</v>
      </c>
      <c r="S19" s="61" t="s">
        <v>212</v>
      </c>
      <c r="T19" s="62"/>
    </row>
    <row r="20" spans="1:20" s="3" customFormat="1" ht="13.5" customHeight="1" x14ac:dyDescent="0.25">
      <c r="A20" s="38"/>
      <c r="B20" s="49">
        <f t="shared" si="0"/>
        <v>11</v>
      </c>
      <c r="C20" s="63">
        <v>1</v>
      </c>
      <c r="D20" s="56" t="s">
        <v>43</v>
      </c>
      <c r="E20" s="56" t="s">
        <v>68</v>
      </c>
      <c r="F20" s="56" t="s">
        <v>90</v>
      </c>
      <c r="G20" s="57" t="s">
        <v>43</v>
      </c>
      <c r="H20" s="57" t="s">
        <v>43</v>
      </c>
      <c r="I20" s="57" t="s">
        <v>129</v>
      </c>
      <c r="J20" s="57" t="s">
        <v>143</v>
      </c>
      <c r="K20" s="57" t="s">
        <v>152</v>
      </c>
      <c r="L20" s="58"/>
      <c r="M20" s="58"/>
      <c r="N20" s="58" t="s">
        <v>176</v>
      </c>
      <c r="O20" s="58" t="s">
        <v>188</v>
      </c>
      <c r="P20" s="58" t="s">
        <v>175</v>
      </c>
      <c r="Q20" s="58" t="s">
        <v>207</v>
      </c>
      <c r="R20" s="58" t="s">
        <v>203</v>
      </c>
      <c r="S20" s="58" t="s">
        <v>213</v>
      </c>
      <c r="T20" s="59"/>
    </row>
    <row r="21" spans="1:20" s="3" customFormat="1" ht="13.5" customHeight="1" x14ac:dyDescent="0.25">
      <c r="A21" s="38"/>
      <c r="B21" s="50">
        <f t="shared" si="0"/>
        <v>12</v>
      </c>
      <c r="C21" s="64">
        <v>1</v>
      </c>
      <c r="D21" s="60" t="s">
        <v>44</v>
      </c>
      <c r="E21" s="60" t="s">
        <v>69</v>
      </c>
      <c r="F21" s="60" t="s">
        <v>86</v>
      </c>
      <c r="G21" s="60" t="s">
        <v>106</v>
      </c>
      <c r="H21" s="60" t="s">
        <v>44</v>
      </c>
      <c r="I21" s="60" t="s">
        <v>130</v>
      </c>
      <c r="J21" s="60" t="s">
        <v>144</v>
      </c>
      <c r="K21" s="60" t="s">
        <v>156</v>
      </c>
      <c r="L21" s="61"/>
      <c r="M21" s="61"/>
      <c r="N21" s="61" t="s">
        <v>176</v>
      </c>
      <c r="O21" s="61" t="s">
        <v>189</v>
      </c>
      <c r="P21" s="61" t="s">
        <v>175</v>
      </c>
      <c r="Q21" s="61" t="s">
        <v>208</v>
      </c>
      <c r="R21" s="61" t="s">
        <v>203</v>
      </c>
      <c r="S21" s="61" t="s">
        <v>214</v>
      </c>
      <c r="T21" s="62"/>
    </row>
    <row r="22" spans="1:20" s="3" customFormat="1" ht="13.5" customHeight="1" x14ac:dyDescent="0.25">
      <c r="A22" s="38"/>
      <c r="B22" s="49">
        <f t="shared" si="0"/>
        <v>13</v>
      </c>
      <c r="C22" s="63">
        <v>1</v>
      </c>
      <c r="D22" s="56" t="s">
        <v>45</v>
      </c>
      <c r="E22" s="56" t="s">
        <v>70</v>
      </c>
      <c r="F22" s="56" t="s">
        <v>91</v>
      </c>
      <c r="G22" s="57" t="s">
        <v>107</v>
      </c>
      <c r="H22" s="57" t="s">
        <v>120</v>
      </c>
      <c r="I22" s="57" t="s">
        <v>131</v>
      </c>
      <c r="J22" s="57" t="s">
        <v>145</v>
      </c>
      <c r="K22" s="57"/>
      <c r="L22" s="58"/>
      <c r="M22" s="58"/>
      <c r="N22" s="58" t="s">
        <v>175</v>
      </c>
      <c r="O22" s="58" t="s">
        <v>190</v>
      </c>
      <c r="P22" s="58" t="s">
        <v>203</v>
      </c>
      <c r="Q22" s="58"/>
      <c r="R22" s="58"/>
      <c r="S22" s="58"/>
      <c r="T22" s="59"/>
    </row>
    <row r="23" spans="1:20" s="3" customFormat="1" ht="45.5" customHeight="1" x14ac:dyDescent="0.25">
      <c r="A23" s="38"/>
      <c r="B23" s="50">
        <f t="shared" si="0"/>
        <v>14</v>
      </c>
      <c r="C23" s="64">
        <v>18</v>
      </c>
      <c r="D23" s="60" t="s">
        <v>46</v>
      </c>
      <c r="E23" s="60" t="s">
        <v>71</v>
      </c>
      <c r="F23" s="60" t="s">
        <v>92</v>
      </c>
      <c r="G23" s="60" t="s">
        <v>108</v>
      </c>
      <c r="H23" s="60" t="s">
        <v>46</v>
      </c>
      <c r="I23" s="60" t="s">
        <v>132</v>
      </c>
      <c r="J23" s="60" t="s">
        <v>146</v>
      </c>
      <c r="K23" s="60" t="s">
        <v>152</v>
      </c>
      <c r="L23" s="61" t="s">
        <v>165</v>
      </c>
      <c r="M23" s="61"/>
      <c r="N23" s="61" t="s">
        <v>175</v>
      </c>
      <c r="O23" s="61" t="s">
        <v>191</v>
      </c>
      <c r="P23" s="61"/>
      <c r="Q23" s="61"/>
      <c r="R23" s="61"/>
      <c r="S23" s="61"/>
      <c r="T23" s="62"/>
    </row>
    <row r="24" spans="1:20" s="3" customFormat="1" ht="45.5" customHeight="1" x14ac:dyDescent="0.25">
      <c r="A24" s="38"/>
      <c r="B24" s="49">
        <f t="shared" si="0"/>
        <v>15</v>
      </c>
      <c r="C24" s="63">
        <v>18</v>
      </c>
      <c r="D24" s="56" t="s">
        <v>47</v>
      </c>
      <c r="E24" s="56" t="s">
        <v>72</v>
      </c>
      <c r="F24" s="56" t="s">
        <v>92</v>
      </c>
      <c r="G24" s="57" t="s">
        <v>109</v>
      </c>
      <c r="H24" s="57" t="s">
        <v>47</v>
      </c>
      <c r="I24" s="57" t="s">
        <v>133</v>
      </c>
      <c r="J24" s="57" t="s">
        <v>147</v>
      </c>
      <c r="K24" s="57" t="s">
        <v>157</v>
      </c>
      <c r="L24" s="58" t="s">
        <v>166</v>
      </c>
      <c r="M24" s="58"/>
      <c r="N24" s="58" t="s">
        <v>175</v>
      </c>
      <c r="O24" s="58" t="s">
        <v>192</v>
      </c>
      <c r="P24" s="58"/>
      <c r="Q24" s="58"/>
      <c r="R24" s="58"/>
      <c r="S24" s="58"/>
      <c r="T24" s="59"/>
    </row>
    <row r="25" spans="1:20" s="3" customFormat="1" ht="13.5" customHeight="1" x14ac:dyDescent="0.25">
      <c r="A25" s="38"/>
      <c r="B25" s="50">
        <f t="shared" si="0"/>
        <v>16</v>
      </c>
      <c r="C25" s="64">
        <v>1</v>
      </c>
      <c r="D25" s="60" t="s">
        <v>48</v>
      </c>
      <c r="E25" s="60" t="s">
        <v>73</v>
      </c>
      <c r="F25" s="60" t="s">
        <v>93</v>
      </c>
      <c r="G25" s="60" t="s">
        <v>110</v>
      </c>
      <c r="H25" s="60" t="s">
        <v>48</v>
      </c>
      <c r="I25" s="60" t="s">
        <v>132</v>
      </c>
      <c r="J25" s="60" t="s">
        <v>146</v>
      </c>
      <c r="K25" s="60" t="s">
        <v>152</v>
      </c>
      <c r="L25" s="61" t="s">
        <v>167</v>
      </c>
      <c r="M25" s="61"/>
      <c r="N25" s="61" t="s">
        <v>175</v>
      </c>
      <c r="O25" s="61" t="s">
        <v>193</v>
      </c>
      <c r="P25" s="61"/>
      <c r="Q25" s="61"/>
      <c r="R25" s="61"/>
      <c r="S25" s="61"/>
      <c r="T25" s="62"/>
    </row>
    <row r="26" spans="1:20" s="3" customFormat="1" ht="13.5" customHeight="1" x14ac:dyDescent="0.25">
      <c r="A26" s="38"/>
      <c r="B26" s="49">
        <f t="shared" si="0"/>
        <v>17</v>
      </c>
      <c r="C26" s="63">
        <v>1</v>
      </c>
      <c r="D26" s="56" t="s">
        <v>49</v>
      </c>
      <c r="E26" s="56" t="s">
        <v>74</v>
      </c>
      <c r="F26" s="56" t="s">
        <v>93</v>
      </c>
      <c r="G26" s="57" t="s">
        <v>111</v>
      </c>
      <c r="H26" s="57" t="s">
        <v>49</v>
      </c>
      <c r="I26" s="57" t="s">
        <v>132</v>
      </c>
      <c r="J26" s="57" t="s">
        <v>146</v>
      </c>
      <c r="K26" s="57" t="s">
        <v>152</v>
      </c>
      <c r="L26" s="58" t="s">
        <v>167</v>
      </c>
      <c r="M26" s="58"/>
      <c r="N26" s="58" t="s">
        <v>175</v>
      </c>
      <c r="O26" s="58" t="s">
        <v>194</v>
      </c>
      <c r="P26" s="58"/>
      <c r="Q26" s="58"/>
      <c r="R26" s="58"/>
      <c r="S26" s="58"/>
      <c r="T26" s="59"/>
    </row>
    <row r="27" spans="1:20" s="3" customFormat="1" ht="78" customHeight="1" x14ac:dyDescent="0.25">
      <c r="A27" s="38"/>
      <c r="B27" s="50">
        <f t="shared" si="0"/>
        <v>18</v>
      </c>
      <c r="C27" s="64">
        <v>36</v>
      </c>
      <c r="D27" s="60" t="s">
        <v>50</v>
      </c>
      <c r="E27" s="60" t="s">
        <v>75</v>
      </c>
      <c r="F27" s="60" t="s">
        <v>84</v>
      </c>
      <c r="G27" s="60" t="s">
        <v>112</v>
      </c>
      <c r="H27" s="60" t="s">
        <v>50</v>
      </c>
      <c r="I27" s="60" t="s">
        <v>132</v>
      </c>
      <c r="J27" s="60" t="s">
        <v>146</v>
      </c>
      <c r="K27" s="60" t="s">
        <v>152</v>
      </c>
      <c r="L27" s="61" t="s">
        <v>167</v>
      </c>
      <c r="M27" s="61"/>
      <c r="N27" s="61" t="s">
        <v>175</v>
      </c>
      <c r="O27" s="61" t="s">
        <v>195</v>
      </c>
      <c r="P27" s="61"/>
      <c r="Q27" s="61"/>
      <c r="R27" s="61"/>
      <c r="S27" s="61"/>
      <c r="T27" s="62"/>
    </row>
    <row r="28" spans="1:20" s="3" customFormat="1" ht="13.5" customHeight="1" x14ac:dyDescent="0.25">
      <c r="A28" s="38"/>
      <c r="B28" s="49">
        <f t="shared" si="0"/>
        <v>19</v>
      </c>
      <c r="C28" s="63">
        <v>1</v>
      </c>
      <c r="D28" s="56" t="s">
        <v>51</v>
      </c>
      <c r="E28" s="56" t="s">
        <v>76</v>
      </c>
      <c r="F28" s="56" t="s">
        <v>84</v>
      </c>
      <c r="G28" s="57" t="s">
        <v>113</v>
      </c>
      <c r="H28" s="57" t="s">
        <v>51</v>
      </c>
      <c r="I28" s="57" t="s">
        <v>132</v>
      </c>
      <c r="J28" s="57" t="s">
        <v>146</v>
      </c>
      <c r="K28" s="57" t="s">
        <v>152</v>
      </c>
      <c r="L28" s="58" t="s">
        <v>167</v>
      </c>
      <c r="M28" s="58"/>
      <c r="N28" s="58" t="s">
        <v>175</v>
      </c>
      <c r="O28" s="58" t="s">
        <v>196</v>
      </c>
      <c r="P28" s="58"/>
      <c r="Q28" s="58"/>
      <c r="R28" s="58"/>
      <c r="S28" s="58"/>
      <c r="T28" s="59"/>
    </row>
    <row r="29" spans="1:20" s="3" customFormat="1" ht="13.5" customHeight="1" x14ac:dyDescent="0.25">
      <c r="A29" s="38"/>
      <c r="B29" s="50">
        <f t="shared" si="0"/>
        <v>20</v>
      </c>
      <c r="C29" s="64">
        <v>1</v>
      </c>
      <c r="D29" s="60" t="s">
        <v>52</v>
      </c>
      <c r="E29" s="60" t="s">
        <v>77</v>
      </c>
      <c r="F29" s="60" t="s">
        <v>94</v>
      </c>
      <c r="G29" s="60" t="s">
        <v>114</v>
      </c>
      <c r="H29" s="60" t="s">
        <v>52</v>
      </c>
      <c r="I29" s="60" t="s">
        <v>132</v>
      </c>
      <c r="J29" s="60" t="s">
        <v>146</v>
      </c>
      <c r="K29" s="60" t="s">
        <v>152</v>
      </c>
      <c r="L29" s="61" t="s">
        <v>165</v>
      </c>
      <c r="M29" s="61"/>
      <c r="N29" s="61" t="s">
        <v>175</v>
      </c>
      <c r="O29" s="61" t="s">
        <v>197</v>
      </c>
      <c r="P29" s="61"/>
      <c r="Q29" s="61"/>
      <c r="R29" s="61"/>
      <c r="S29" s="61"/>
      <c r="T29" s="62"/>
    </row>
    <row r="30" spans="1:20" s="3" customFormat="1" ht="13.5" customHeight="1" x14ac:dyDescent="0.25">
      <c r="A30" s="38"/>
      <c r="B30" s="49">
        <f t="shared" si="0"/>
        <v>21</v>
      </c>
      <c r="C30" s="63">
        <v>1</v>
      </c>
      <c r="D30" s="56" t="s">
        <v>53</v>
      </c>
      <c r="E30" s="56" t="s">
        <v>78</v>
      </c>
      <c r="F30" s="56" t="s">
        <v>94</v>
      </c>
      <c r="G30" s="57" t="s">
        <v>115</v>
      </c>
      <c r="H30" s="57" t="s">
        <v>53</v>
      </c>
      <c r="I30" s="57" t="s">
        <v>132</v>
      </c>
      <c r="J30" s="57" t="s">
        <v>146</v>
      </c>
      <c r="K30" s="57" t="s">
        <v>152</v>
      </c>
      <c r="L30" s="58" t="s">
        <v>165</v>
      </c>
      <c r="M30" s="58"/>
      <c r="N30" s="58" t="s">
        <v>175</v>
      </c>
      <c r="O30" s="58" t="s">
        <v>198</v>
      </c>
      <c r="P30" s="58"/>
      <c r="Q30" s="58"/>
      <c r="R30" s="58"/>
      <c r="S30" s="58"/>
      <c r="T30" s="59"/>
    </row>
    <row r="31" spans="1:20" s="3" customFormat="1" ht="13.5" customHeight="1" x14ac:dyDescent="0.25">
      <c r="A31" s="38"/>
      <c r="B31" s="50">
        <f t="shared" si="0"/>
        <v>22</v>
      </c>
      <c r="C31" s="64">
        <v>1</v>
      </c>
      <c r="D31" s="60" t="s">
        <v>54</v>
      </c>
      <c r="E31" s="60" t="s">
        <v>79</v>
      </c>
      <c r="F31" s="60" t="s">
        <v>95</v>
      </c>
      <c r="G31" s="60" t="s">
        <v>116</v>
      </c>
      <c r="H31" s="60" t="s">
        <v>54</v>
      </c>
      <c r="I31" s="60" t="s">
        <v>132</v>
      </c>
      <c r="J31" s="60" t="s">
        <v>146</v>
      </c>
      <c r="K31" s="60" t="s">
        <v>152</v>
      </c>
      <c r="L31" s="61" t="s">
        <v>165</v>
      </c>
      <c r="M31" s="61"/>
      <c r="N31" s="61" t="s">
        <v>176</v>
      </c>
      <c r="O31" s="61" t="s">
        <v>199</v>
      </c>
      <c r="P31" s="61"/>
      <c r="Q31" s="61"/>
      <c r="R31" s="61"/>
      <c r="S31" s="61"/>
      <c r="T31" s="62"/>
    </row>
    <row r="32" spans="1:20" s="3" customFormat="1" ht="13.5" customHeight="1" x14ac:dyDescent="0.25">
      <c r="A32" s="38"/>
      <c r="B32" s="49">
        <f t="shared" si="0"/>
        <v>23</v>
      </c>
      <c r="C32" s="63">
        <v>4</v>
      </c>
      <c r="D32" s="56" t="s">
        <v>52</v>
      </c>
      <c r="E32" s="56" t="s">
        <v>80</v>
      </c>
      <c r="F32" s="56"/>
      <c r="G32" s="57"/>
      <c r="H32" s="57" t="s">
        <v>52</v>
      </c>
      <c r="I32" s="57" t="s">
        <v>134</v>
      </c>
      <c r="J32" s="57" t="s">
        <v>148</v>
      </c>
      <c r="K32" s="57" t="s">
        <v>152</v>
      </c>
      <c r="L32" s="58"/>
      <c r="M32" s="58"/>
      <c r="N32" s="58"/>
      <c r="O32" s="58"/>
      <c r="P32" s="58"/>
      <c r="Q32" s="58"/>
      <c r="R32" s="58"/>
      <c r="S32" s="58"/>
      <c r="T32" s="59"/>
    </row>
    <row r="33" spans="1:20" s="3" customFormat="1" ht="45.5" customHeight="1" x14ac:dyDescent="0.25">
      <c r="A33" s="38"/>
      <c r="B33" s="50">
        <f t="shared" si="0"/>
        <v>24</v>
      </c>
      <c r="C33" s="64">
        <v>9</v>
      </c>
      <c r="D33" s="60" t="s">
        <v>55</v>
      </c>
      <c r="E33" s="60" t="s">
        <v>81</v>
      </c>
      <c r="F33" s="60" t="s">
        <v>96</v>
      </c>
      <c r="G33" s="60" t="s">
        <v>117</v>
      </c>
      <c r="H33" s="60"/>
      <c r="I33" s="60" t="s">
        <v>135</v>
      </c>
      <c r="J33" s="60" t="s">
        <v>149</v>
      </c>
      <c r="K33" s="60" t="s">
        <v>158</v>
      </c>
      <c r="L33" s="61"/>
      <c r="M33" s="61"/>
      <c r="N33" s="61" t="s">
        <v>175</v>
      </c>
      <c r="O33" s="61" t="s">
        <v>200</v>
      </c>
      <c r="P33" s="61"/>
      <c r="Q33" s="61"/>
      <c r="R33" s="61"/>
      <c r="S33" s="61"/>
      <c r="T33" s="62"/>
    </row>
    <row r="34" spans="1:20" s="3" customFormat="1" ht="13.5" customHeight="1" x14ac:dyDescent="0.25">
      <c r="A34" s="38"/>
      <c r="B34" s="49">
        <f t="shared" si="0"/>
        <v>25</v>
      </c>
      <c r="C34" s="63">
        <v>1</v>
      </c>
      <c r="D34" s="56" t="s">
        <v>56</v>
      </c>
      <c r="E34" s="56" t="s">
        <v>82</v>
      </c>
      <c r="F34" s="56" t="s">
        <v>96</v>
      </c>
      <c r="G34" s="57" t="s">
        <v>118</v>
      </c>
      <c r="H34" s="57"/>
      <c r="I34" s="57" t="s">
        <v>136</v>
      </c>
      <c r="J34" s="57" t="s">
        <v>150</v>
      </c>
      <c r="K34" s="57" t="s">
        <v>159</v>
      </c>
      <c r="L34" s="58"/>
      <c r="M34" s="58"/>
      <c r="N34" s="58" t="s">
        <v>175</v>
      </c>
      <c r="O34" s="58" t="s">
        <v>201</v>
      </c>
      <c r="P34" s="58"/>
      <c r="Q34" s="58"/>
      <c r="R34" s="58"/>
      <c r="S34" s="58"/>
      <c r="T34" s="59"/>
    </row>
    <row r="35" spans="1:20" ht="13" x14ac:dyDescent="0.25">
      <c r="A35" s="38"/>
      <c r="B35" s="55" t="s">
        <v>23</v>
      </c>
      <c r="C35" s="70" t="s">
        <v>30</v>
      </c>
      <c r="D35" s="52"/>
      <c r="E35" s="36"/>
      <c r="F35" s="35"/>
      <c r="G35" s="34"/>
      <c r="H35" s="5" t="s">
        <v>19</v>
      </c>
      <c r="L35" s="54"/>
      <c r="M35" s="54"/>
      <c r="N35" s="54"/>
      <c r="O35" s="54"/>
      <c r="P35" s="54"/>
      <c r="Q35" s="54"/>
      <c r="R35" s="54"/>
      <c r="S35" s="54"/>
      <c r="T35" s="53"/>
    </row>
    <row r="36" spans="1:20" x14ac:dyDescent="0.25">
      <c r="A36" s="38"/>
      <c r="B36" s="8"/>
      <c r="C36" s="8"/>
      <c r="D36" s="8"/>
      <c r="E36" s="8"/>
      <c r="F36" s="7"/>
      <c r="G36" s="9"/>
      <c r="H36" s="6"/>
      <c r="I36" s="6"/>
      <c r="J36" s="6"/>
      <c r="K36" s="6"/>
      <c r="L36" s="7"/>
      <c r="M36" s="7"/>
      <c r="N36" s="7"/>
      <c r="O36" s="7"/>
      <c r="P36" s="7"/>
      <c r="Q36" s="7"/>
      <c r="R36" s="7"/>
      <c r="S36" s="7"/>
      <c r="T36" s="14"/>
    </row>
    <row r="37" spans="1:20" x14ac:dyDescent="0.25">
      <c r="A37" s="38"/>
      <c r="B37" s="8"/>
      <c r="C37" s="8"/>
      <c r="D37" s="8"/>
      <c r="E37" s="8"/>
      <c r="F37" s="8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15"/>
    </row>
    <row r="38" spans="1:20" x14ac:dyDescent="0.25">
      <c r="A38" s="38"/>
      <c r="B38" s="8"/>
      <c r="C38" s="8"/>
      <c r="D38" s="8"/>
      <c r="E38" s="8"/>
      <c r="F38" s="8"/>
      <c r="G38" s="10"/>
      <c r="H38" s="7"/>
      <c r="I38" s="7"/>
      <c r="J38" s="7"/>
      <c r="K38" s="7" t="s">
        <v>21</v>
      </c>
      <c r="L38" s="7"/>
      <c r="M38" s="7"/>
      <c r="N38" s="7"/>
      <c r="O38" s="7"/>
      <c r="P38" s="7"/>
      <c r="Q38" s="7"/>
      <c r="R38" s="7"/>
      <c r="S38" s="7"/>
      <c r="T38" s="15"/>
    </row>
    <row r="39" spans="1:20" ht="13" thickBot="1" x14ac:dyDescent="0.3">
      <c r="A39" s="38"/>
      <c r="B39" s="33"/>
      <c r="C39" s="13"/>
      <c r="D39" s="13"/>
      <c r="E39" s="13"/>
      <c r="F39" s="13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6"/>
    </row>
    <row r="41" spans="1:20" x14ac:dyDescent="0.25">
      <c r="D41" s="1"/>
      <c r="E41" s="1"/>
      <c r="F41" s="1"/>
      <c r="G41" s="1"/>
    </row>
    <row r="42" spans="1:20" x14ac:dyDescent="0.25">
      <c r="D42" s="1"/>
      <c r="E42" s="1"/>
      <c r="F42" s="1"/>
      <c r="G42" s="1"/>
    </row>
    <row r="43" spans="1:20" x14ac:dyDescent="0.25">
      <c r="D43" s="1"/>
      <c r="E43" s="1"/>
      <c r="F43" s="1"/>
      <c r="G43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4"/>
  <sheetViews>
    <sheetView workbookViewId="0">
      <selection activeCell="B14" sqref="B14"/>
    </sheetView>
  </sheetViews>
  <sheetFormatPr baseColWidth="10" defaultColWidth="9.1796875" defaultRowHeight="12.5" x14ac:dyDescent="0.25"/>
  <cols>
    <col min="1" max="1" width="28" bestFit="1" customWidth="1"/>
    <col min="2" max="2" width="110.54296875" customWidth="1"/>
  </cols>
  <sheetData>
    <row r="1" spans="1:2" ht="13" x14ac:dyDescent="0.25">
      <c r="A1" s="32" t="s">
        <v>0</v>
      </c>
      <c r="B1" s="71" t="s">
        <v>215</v>
      </c>
    </row>
    <row r="2" spans="1:2" ht="13" x14ac:dyDescent="0.25">
      <c r="A2" s="31" t="s">
        <v>1</v>
      </c>
      <c r="B2" s="72" t="s">
        <v>26</v>
      </c>
    </row>
    <row r="3" spans="1:2" ht="13" x14ac:dyDescent="0.25">
      <c r="A3" s="32" t="s">
        <v>2</v>
      </c>
      <c r="B3" s="73" t="s">
        <v>27</v>
      </c>
    </row>
    <row r="4" spans="1:2" ht="13" x14ac:dyDescent="0.25">
      <c r="A4" s="31" t="s">
        <v>3</v>
      </c>
      <c r="B4" s="72" t="s">
        <v>26</v>
      </c>
    </row>
    <row r="5" spans="1:2" ht="13" x14ac:dyDescent="0.25">
      <c r="A5" s="32" t="s">
        <v>4</v>
      </c>
      <c r="B5" s="73" t="s">
        <v>215</v>
      </c>
    </row>
    <row r="6" spans="1:2" ht="13" x14ac:dyDescent="0.25">
      <c r="A6" s="31" t="s">
        <v>5</v>
      </c>
      <c r="B6" s="72" t="s">
        <v>25</v>
      </c>
    </row>
    <row r="7" spans="1:2" ht="13" x14ac:dyDescent="0.25">
      <c r="A7" s="32" t="s">
        <v>6</v>
      </c>
      <c r="B7" s="73" t="s">
        <v>30</v>
      </c>
    </row>
    <row r="8" spans="1:2" ht="13" x14ac:dyDescent="0.25">
      <c r="A8" s="31" t="s">
        <v>7</v>
      </c>
      <c r="B8" s="72" t="s">
        <v>29</v>
      </c>
    </row>
    <row r="9" spans="1:2" ht="13" x14ac:dyDescent="0.25">
      <c r="A9" s="32" t="s">
        <v>8</v>
      </c>
      <c r="B9" s="73" t="s">
        <v>28</v>
      </c>
    </row>
    <row r="10" spans="1:2" ht="13" x14ac:dyDescent="0.25">
      <c r="A10" s="31" t="s">
        <v>9</v>
      </c>
      <c r="B10" s="72" t="s">
        <v>216</v>
      </c>
    </row>
    <row r="11" spans="1:2" ht="13" x14ac:dyDescent="0.25">
      <c r="A11" s="32" t="s">
        <v>10</v>
      </c>
      <c r="B11" s="73" t="s">
        <v>217</v>
      </c>
    </row>
    <row r="12" spans="1:2" ht="13" x14ac:dyDescent="0.25">
      <c r="A12" s="31" t="s">
        <v>11</v>
      </c>
      <c r="B12" s="72" t="s">
        <v>218</v>
      </c>
    </row>
    <row r="13" spans="1:2" ht="13" x14ac:dyDescent="0.25">
      <c r="A13" s="32" t="s">
        <v>12</v>
      </c>
      <c r="B13" s="73" t="s">
        <v>219</v>
      </c>
    </row>
    <row r="14" spans="1:2" ht="13" x14ac:dyDescent="0.25">
      <c r="A14" s="31" t="s">
        <v>13</v>
      </c>
      <c r="B14" s="72" t="s">
        <v>217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Liegmann, Eyke</cp:lastModifiedBy>
  <cp:lastPrinted>2005-05-16T01:11:50Z</cp:lastPrinted>
  <dcterms:created xsi:type="dcterms:W3CDTF">2002-11-05T15:28:02Z</dcterms:created>
  <dcterms:modified xsi:type="dcterms:W3CDTF">2020-08-24T12:27:57Z</dcterms:modified>
</cp:coreProperties>
</file>